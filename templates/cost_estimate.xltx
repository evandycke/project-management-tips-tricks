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git.personnel\til\project_management\resources\"/>
    </mc:Choice>
  </mc:AlternateContent>
  <xr:revisionPtr revIDLastSave="0" documentId="13_ncr:1_{DF74BF75-F135-48A5-9103-7C6F7D32BFD0}" xr6:coauthVersionLast="45" xr6:coauthVersionMax="45" xr10:uidLastSave="{00000000-0000-0000-0000-000000000000}"/>
  <bookViews>
    <workbookView xWindow="28680" yWindow="-1095" windowWidth="29040" windowHeight="15840" activeTab="1" xr2:uid="{343AE15A-05F9-4340-A53F-CBCA7F9BFD47}"/>
  </bookViews>
  <sheets>
    <sheet name="Chiffrage" sheetId="3" r:id="rId1"/>
    <sheet name="Evaluation de la charge" sheetId="1" r:id="rId2"/>
    <sheet name="Ratios" sheetId="2" r:id="rId3"/>
  </sheets>
  <definedNames>
    <definedName name="_xlcn.WorksheetConnection_Classeur1Tableau31" hidden="1">Tableau3[]</definedName>
    <definedName name="_xlnm.Print_Titles" localSheetId="0">Chiffrage!$3:$3</definedName>
    <definedName name="_xlnm.Print_Titles" localSheetId="1">'Evaluation de la charge'!$1:$1</definedName>
  </definedNames>
  <calcPr calcId="191029"/>
  <pivotCaches>
    <pivotCache cacheId="62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3" name="Tableau3" connection="WorksheetConnection_Classeur1!Tableau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B1" i="3"/>
  <c r="F3" i="1" l="1"/>
  <c r="F4" i="1"/>
  <c r="F5" i="1"/>
  <c r="F6" i="1"/>
  <c r="F7" i="1"/>
  <c r="F8" i="1"/>
  <c r="F9" i="1"/>
  <c r="F10" i="1"/>
  <c r="F11" i="1"/>
  <c r="H11" i="1" s="1"/>
  <c r="F12" i="1"/>
  <c r="H12" i="1" s="1"/>
  <c r="G3" i="1"/>
  <c r="G4" i="1"/>
  <c r="G5" i="1"/>
  <c r="H5" i="1" s="1"/>
  <c r="I5" i="1" s="1"/>
  <c r="G6" i="1"/>
  <c r="H6" i="1" s="1"/>
  <c r="G7" i="1"/>
  <c r="G8" i="1"/>
  <c r="G9" i="1"/>
  <c r="G10" i="1"/>
  <c r="G11" i="1"/>
  <c r="G12" i="1"/>
  <c r="F2" i="1"/>
  <c r="G2" i="1"/>
  <c r="H7" i="1" l="1"/>
  <c r="I12" i="1"/>
  <c r="I11" i="1"/>
  <c r="H2" i="1"/>
  <c r="H4" i="1"/>
  <c r="I4" i="1" s="1"/>
  <c r="H3" i="1"/>
  <c r="I3" i="1" s="1"/>
  <c r="I6" i="1"/>
  <c r="H8" i="1"/>
  <c r="I8" i="1" s="1"/>
  <c r="I7" i="1"/>
  <c r="H9" i="1"/>
  <c r="I9" i="1" s="1"/>
  <c r="H10" i="1"/>
  <c r="I10" i="1" s="1"/>
  <c r="I2" i="1"/>
  <c r="E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 VANDYCKE</author>
    <author>Elie Vandycke</author>
  </authors>
  <commentList>
    <comment ref="A2" authorId="0" shapeId="0" xr:uid="{FD5A7F2D-C106-4062-8663-D0B1062A9C07}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Prise en charge des retours de recette fonctionnelle</t>
        </r>
      </text>
    </comment>
    <comment ref="A3" authorId="0" shapeId="0" xr:uid="{57748BD8-1E46-4AB8-94AB-914536E45C3A}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Mise à jour des fiches de flux, ...</t>
        </r>
      </text>
    </comment>
    <comment ref="A4" authorId="0" shapeId="0" xr:uid="{44861D88-5ADF-4966-8F4B-291B91C52A67}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Les réunions, l'avancement, les coproj, les copil ...</t>
        </r>
      </text>
    </comment>
    <comment ref="A5" authorId="0" shapeId="0" xr:uid="{0F15E876-2748-4C05-8FCD-6FE7A0C8EF76}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Un loupé dans l'analyse technique, des soucis d'infra, ...</t>
        </r>
      </text>
    </comment>
    <comment ref="A6" authorId="1" shapeId="0" xr:uid="{4C4BA231-1202-4E02-A926-7B4C4B6994D6}">
      <text>
        <r>
          <rPr>
            <b/>
            <sz val="9"/>
            <color indexed="81"/>
            <rFont val="Tahoma"/>
            <charset val="1"/>
          </rPr>
          <t>Elie Vandycke:</t>
        </r>
        <r>
          <rPr>
            <sz val="9"/>
            <color indexed="81"/>
            <rFont val="Tahoma"/>
            <charset val="1"/>
          </rPr>
          <t xml:space="preserve">
La revue de code est impérative avec l'architecte, le CDP ou le lead-dev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AA78EED-3E93-43B1-BEF1-25C53FCA658C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E427864-8769-44F5-AF2D-B7F2FFD14A87}" name="WorksheetConnection_Classeur1!Tableau3" type="102" refreshedVersion="6" minRefreshableVersion="5">
    <extLst>
      <ext xmlns:x15="http://schemas.microsoft.com/office/spreadsheetml/2010/11/main" uri="{DE250136-89BD-433C-8126-D09CA5730AF9}">
        <x15:connection id="Tableau3" autoDelete="1">
          <x15:rangePr sourceName="_xlcn.WorksheetConnection_Classeur1Tableau31"/>
        </x15:connection>
      </ext>
    </extLst>
  </connection>
</connections>
</file>

<file path=xl/sharedStrings.xml><?xml version="1.0" encoding="utf-8"?>
<sst xmlns="http://schemas.openxmlformats.org/spreadsheetml/2006/main" count="38" uniqueCount="26">
  <si>
    <t>Numéro</t>
  </si>
  <si>
    <t>Commentaires</t>
  </si>
  <si>
    <t>Ratio</t>
  </si>
  <si>
    <t>Seuil min.</t>
  </si>
  <si>
    <t>Seuil retenu</t>
  </si>
  <si>
    <t>Seuil max.</t>
  </si>
  <si>
    <t>Recette fonctionnelle</t>
  </si>
  <si>
    <t>Sur la base des charges de réalisation</t>
  </si>
  <si>
    <t>Documentation</t>
  </si>
  <si>
    <t>Gestion de projet</t>
  </si>
  <si>
    <t>Sur la base des charges de réalisation + recette fonctionnelle + documentation</t>
  </si>
  <si>
    <t>Provision pour imprévu</t>
  </si>
  <si>
    <t>Sur la base des charges de réalisation + recette fonctionnelle + documentation + gestion de projet</t>
  </si>
  <si>
    <t>Nombre d'heures par jour</t>
  </si>
  <si>
    <t>Tâche à réaliser</t>
  </si>
  <si>
    <t>Charge totale (en heures)</t>
  </si>
  <si>
    <t>Charge totale (en jours)</t>
  </si>
  <si>
    <t>Recette (en h)</t>
  </si>
  <si>
    <t>Documentation (en h)</t>
  </si>
  <si>
    <t>Pilotage (en h)</t>
  </si>
  <si>
    <t>Imprévus (en h)</t>
  </si>
  <si>
    <t>1.1</t>
  </si>
  <si>
    <t>Précisions apportées</t>
  </si>
  <si>
    <t>Revue de code</t>
  </si>
  <si>
    <t>Charge estimée (en h)</t>
  </si>
  <si>
    <t>Revue de code (en 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</si>
</sst>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 ;[Red]\-#,##0.00\ 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/>
        <bgColor theme="6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12">
    <xf numFmtId="0" fontId="0" fillId="0" borderId="0" xfId="0"/>
    <xf numFmtId="9" fontId="2" fillId="2" borderId="0" xfId="2" applyNumberFormat="1"/>
    <xf numFmtId="9" fontId="0" fillId="0" borderId="0" xfId="1" applyFont="1"/>
    <xf numFmtId="9" fontId="3" fillId="3" borderId="0" xfId="3" applyNumberFormat="1"/>
    <xf numFmtId="9" fontId="4" fillId="4" borderId="0" xfId="4" applyNumberFormat="1"/>
    <xf numFmtId="0" fontId="5" fillId="5" borderId="1" xfId="0" applyFont="1" applyFill="1" applyBorder="1"/>
    <xf numFmtId="0" fontId="0" fillId="0" borderId="1" xfId="0" applyBorder="1"/>
    <xf numFmtId="164" fontId="0" fillId="0" borderId="0" xfId="0" applyNumberFormat="1"/>
    <xf numFmtId="0" fontId="0" fillId="0" borderId="0" xfId="0" pivotButton="1"/>
    <xf numFmtId="164" fontId="6" fillId="6" borderId="0" xfId="0" applyNumberFormat="1" applyFont="1" applyFill="1"/>
    <xf numFmtId="164" fontId="0" fillId="0" borderId="0" xfId="0" applyNumberFormat="1" applyAlignment="1">
      <alignment vertical="top"/>
    </xf>
    <xf numFmtId="0" fontId="0" fillId="0" borderId="0" xfId="0" applyNumberFormat="1"/>
  </cellXfs>
  <cellStyles count="5">
    <cellStyle name="Insatisfaisant" xfId="3" builtinId="27"/>
    <cellStyle name="Neutre" xfId="4" builtinId="28"/>
    <cellStyle name="Normal" xfId="0" builtinId="0"/>
    <cellStyle name="Pourcentage" xfId="1" builtinId="5"/>
    <cellStyle name="Satisfaisant" xfId="2" builtinId="26"/>
  </cellStyles>
  <dxfs count="8">
    <dxf>
      <numFmt numFmtId="164" formatCode="#,##0.00_ ;[Red]\-#,##0.00\ 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</dxf>
    <dxf>
      <numFmt numFmtId="164" formatCode="#,##0.00_ ;[Red]\-#,##0.00\ "/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lie Vandycke" refreshedDate="44106.353180439815" backgroundQuery="1" createdVersion="6" refreshedVersion="6" minRefreshableVersion="3" recordCount="0" supportSubquery="1" supportAdvancedDrill="1" xr:uid="{92455ABE-E8AF-4944-A0D5-79DB0C464FAE}">
  <cacheSource type="external" connectionId="1"/>
  <cacheFields count="8">
    <cacheField name="[Tableau3].[Tâche à réaliser].[Tâche à réaliser]" caption="Tâche à réaliser" numFmtId="0" hierarchy="1" level="1">
      <sharedItems containsNonDate="0" containsBlank="1" count="2">
        <m/>
        <s v="Tâche à réaliser"/>
      </sharedItems>
    </cacheField>
    <cacheField name="[Tableau3].[Numéro].[Numéro]" caption="Numéro" numFmtId="0" level="1">
      <sharedItems containsNonDate="0" containsBlank="1" count="2">
        <m/>
        <s v="1.1"/>
      </sharedItems>
    </cacheField>
    <cacheField name="[Measures].[Somme de Charge estimée (en h)]" caption="Somme de Charge estimée (en h)" numFmtId="0" hierarchy="11" level="32767"/>
    <cacheField name="[Measures].[Somme de Revue de code (en h)]" caption="Somme de Revue de code (en h)" numFmtId="0" hierarchy="12" level="32767"/>
    <cacheField name="[Measures].[Somme de Recette (en h)]" caption="Somme de Recette (en h)" numFmtId="0" hierarchy="13" level="32767"/>
    <cacheField name="[Measures].[Somme de Documentation (en h)]" caption="Somme de Documentation (en h)" numFmtId="0" hierarchy="14" level="32767"/>
    <cacheField name="[Measures].[Somme de Pilotage (en h)]" caption="Somme de Pilotage (en h)" numFmtId="0" hierarchy="15" level="32767"/>
    <cacheField name="[Measures].[Somme de Imprévus (en h)]" caption="Somme de Imprévus (en h)" numFmtId="0" hierarchy="16" level="32767"/>
  </cacheFields>
  <cacheHierarchies count="17">
    <cacheHierarchy uniqueName="[Tableau3].[Numéro]" caption="Numéro" attribute="1" defaultMemberUniqueName="[Tableau3].[Numéro].[All]" allUniqueName="[Tableau3].[Numéro].[All]" dimensionUniqueName="[Tableau3]" displayFolder="" count="2" memberValueDatatype="130" unbalanced="0">
      <fieldsUsage count="2">
        <fieldUsage x="-1"/>
        <fieldUsage x="1"/>
      </fieldsUsage>
    </cacheHierarchy>
    <cacheHierarchy uniqueName="[Tableau3].[Tâche à réaliser]" caption="Tâche à réaliser" attribute="1" defaultMemberUniqueName="[Tableau3].[Tâche à réaliser].[All]" allUniqueName="[Tableau3].[Tâche à réaliser].[All]" dimensionUniqueName="[Tableau3]" displayFolder="" count="2" memberValueDatatype="130" unbalanced="0">
      <fieldsUsage count="2">
        <fieldUsage x="-1"/>
        <fieldUsage x="0"/>
      </fieldsUsage>
    </cacheHierarchy>
    <cacheHierarchy uniqueName="[Tableau3].[Commentaires]" caption="Commentaires" attribute="1" defaultMemberUniqueName="[Tableau3].[Commentaires].[All]" allUniqueName="[Tableau3].[Commentaires].[All]" dimensionUniqueName="[Tableau3]" displayFolder="" count="0" memberValueDatatype="130" unbalanced="0"/>
    <cacheHierarchy uniqueName="[Tableau3].[Charge estimée (en h)]" caption="Charge estimée (en h)" attribute="1" defaultMemberUniqueName="[Tableau3].[Charge estimée (en h)].[All]" allUniqueName="[Tableau3].[Charge estimée (en h)].[All]" dimensionUniqueName="[Tableau3]" displayFolder="" count="0" memberValueDatatype="20" unbalanced="0"/>
    <cacheHierarchy uniqueName="[Tableau3].[Revue de code (en h)]" caption="Revue de code (en h)" attribute="1" defaultMemberUniqueName="[Tableau3].[Revue de code (en h)].[All]" allUniqueName="[Tableau3].[Revue de code (en h)].[All]" dimensionUniqueName="[Tableau3]" displayFolder="" count="0" memberValueDatatype="5" unbalanced="0"/>
    <cacheHierarchy uniqueName="[Tableau3].[Recette (en h)]" caption="Recette (en h)" attribute="1" defaultMemberUniqueName="[Tableau3].[Recette (en h)].[All]" allUniqueName="[Tableau3].[Recette (en h)].[All]" dimensionUniqueName="[Tableau3]" displayFolder="" count="0" memberValueDatatype="5" unbalanced="0"/>
    <cacheHierarchy uniqueName="[Tableau3].[Documentation (en h)]" caption="Documentation (en h)" attribute="1" defaultMemberUniqueName="[Tableau3].[Documentation (en h)].[All]" allUniqueName="[Tableau3].[Documentation (en h)].[All]" dimensionUniqueName="[Tableau3]" displayFolder="" count="0" memberValueDatatype="5" unbalanced="0"/>
    <cacheHierarchy uniqueName="[Tableau3].[Pilotage (en h)]" caption="Pilotage (en h)" attribute="1" defaultMemberUniqueName="[Tableau3].[Pilotage (en h)].[All]" allUniqueName="[Tableau3].[Pilotage (en h)].[All]" dimensionUniqueName="[Tableau3]" displayFolder="" count="0" memberValueDatatype="5" unbalanced="0"/>
    <cacheHierarchy uniqueName="[Tableau3].[Imprévus (en h)]" caption="Imprévus (en h)" attribute="1" defaultMemberUniqueName="[Tableau3].[Imprévus (en h)].[All]" allUniqueName="[Tableau3].[Imprévus (en h)].[All]" dimensionUniqueName="[Tableau3]" displayFolder="" count="0" memberValueDatatype="5" unbalanced="0"/>
    <cacheHierarchy uniqueName="[Measures].[__XL_Count Tableau3]" caption="__XL_Count Tableau3" measure="1" displayFolder="" measureGroup="Tableau3" count="0" hidden="1"/>
    <cacheHierarchy uniqueName="[Measures].[__No measures defined]" caption="__No measures defined" measure="1" displayFolder="" count="0" hidden="1"/>
    <cacheHierarchy uniqueName="[Measures].[Somme de Charge estimée (en h)]" caption="Somme de Charge estimée (en h)" measure="1" displayFolder="" measureGroup="Tableau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Revue de code (en h)]" caption="Somme de Revue de code (en h)" measure="1" displayFolder="" measureGroup="Tableau3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me de Recette (en h)]" caption="Somme de Recette (en h)" measure="1" displayFolder="" measureGroup="Tableau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omme de Documentation (en h)]" caption="Somme de Documentation (en h)" measure="1" displayFolder="" measureGroup="Tableau3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me de Pilotage (en h)]" caption="Somme de Pilotage (en h)" measure="1" displayFolder="" measureGroup="Tableau3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Imprévus (en h)]" caption="Somme de Imprévus (en h)" measure="1" displayFolder="" measureGroup="Tableau3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2">
    <dimension measure="1" name="Measures" uniqueName="[Measures]" caption="Measures"/>
    <dimension name="Tableau3" uniqueName="[Tableau3]" caption="Tableau3"/>
  </dimensions>
  <measureGroups count="1">
    <measureGroup name="Tableau3" caption="Tableau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031FC0-8245-4348-8F46-2CAC08218FCE}" name="Tableau croisé dynamique1" cacheId="62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compact="0" compactData="0" multipleFieldFilters="0" chartFormat="13" rowHeaderCaption="Tâche à réaliser">
  <location ref="A3:H3" firstHeaderRow="0" firstDataRow="1" firstDataCol="2"/>
  <pivotFields count="8">
    <pivotField axis="axisRow" compact="0" allDrilled="1" outline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sortType="ascending" defaultSubtotal="0" defaultAttributeDrillState="1">
      <items count="2">
        <item x="1"/>
        <item x="0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2">
    <field x="1"/>
    <field x="0"/>
  </rowField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harge estimée (en h)" fld="2" baseField="0" baseItem="1" numFmtId="164"/>
    <dataField name="Revue de code (en h)" fld="3" baseField="0" baseItem="1" numFmtId="164"/>
    <dataField name="Recette (en h)" fld="4" baseField="0" baseItem="1" numFmtId="164"/>
    <dataField name="Documentation (en h)" fld="5" baseField="0" baseItem="1" numFmtId="164"/>
    <dataField name="Pilotage (en h)" fld="6" baseField="0" baseItem="1" numFmtId="164"/>
    <dataField name="Imprévus (en h)" fld="7" baseField="0" baseItem="1" numFmtId="164"/>
  </dataFields>
  <pivotHierarchies count="1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Charge estimée (en h)"/>
    <pivotHierarchy dragToData="1" caption="Revue de code (en h)"/>
    <pivotHierarchy dragToData="1" caption="Recette (en h)"/>
    <pivotHierarchy dragToData="1" caption="Documentation (en h)"/>
    <pivotHierarchy dragToData="1" caption="Pilotage (en h)"/>
    <pivotHierarchy dragToData="1" caption="Imprévus (en h)"/>
  </pivotHierarchies>
  <pivotTableStyleInfo name="PivotStyleMedium1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Tableau3">
        <x15:activeTabTopLevelEntity name="[Tableau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F7EEFE-70AA-40C4-8EBA-913242E3C451}" name="Tableau3" displayName="Tableau3" ref="A1:I12" totalsRowShown="0">
  <autoFilter ref="A1:I12" xr:uid="{FD13F84C-78D7-4555-AD88-A475759E6322}"/>
  <tableColumns count="9">
    <tableColumn id="1" xr3:uid="{0AF47564-4396-4508-8303-771381BE6EB0}" name="Numéro"/>
    <tableColumn id="2" xr3:uid="{8ED1FE73-6327-4769-A562-BEF76DF52AB2}" name="Tâche à réaliser"/>
    <tableColumn id="5" xr3:uid="{6ECD0514-2E8C-430A-870C-61A50C50C603}" name="Commentaires"/>
    <tableColumn id="3" xr3:uid="{13D0A9E7-153B-4A13-9D5D-3D8C8D970367}" name="Charge estimée (en h)" dataDxfId="7"/>
    <tableColumn id="9" xr3:uid="{35EC4B96-DB93-4684-8FA0-E2E3B5981FDA}" name="Revue de code (en h)" dataDxfId="0">
      <calculatedColumnFormula>Tableau3[[#This Row],[Charge estimée (en h)]]*Ratios!$C$6</calculatedColumnFormula>
    </tableColumn>
    <tableColumn id="4" xr3:uid="{67F9A37E-1B1A-4E16-83E3-9729A64B5D73}" name="Recette (en h)" dataDxfId="6">
      <calculatedColumnFormula>Tableau3[[#This Row],[Charge estimée (en h)]]*Ratios!$C$2</calculatedColumnFormula>
    </tableColumn>
    <tableColumn id="6" xr3:uid="{B836DF92-42A1-4797-A485-83311EC03D6D}" name="Documentation (en h)" dataDxfId="5">
      <calculatedColumnFormula>Tableau3[[#This Row],[Charge estimée (en h)]]*Ratios!$C$3</calculatedColumnFormula>
    </tableColumn>
    <tableColumn id="7" xr3:uid="{82EA04A3-B565-45DA-AC0E-B1F9AF38AAF4}" name="Pilotage (en h)" dataDxfId="4">
      <calculatedColumnFormula>(Tableau3[[#This Row],[Charge estimée (en h)]]+Tableau3[[#This Row],[Recette (en h)]]+Tableau3[[#This Row],[Documentation (en h)]])*Ratios!$C$4</calculatedColumnFormula>
    </tableColumn>
    <tableColumn id="8" xr3:uid="{874728E6-713B-4F88-BEF4-C3452912D48F}" name="Imprévus (en h)" dataDxfId="3">
      <calculatedColumnFormula>(Tableau3[[#This Row],[Charge estimée (en h)]]+Tableau3[[#This Row],[Recette (en h)]]+Tableau3[[#This Row],[Documentation (en h)]]+Tableau3[[#This Row],[Pilotage (en h)]])*Ratios!$C$5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ED0832-9DB8-4C35-939B-6650F418DB11}" name="Tableau2" displayName="Tableau2" ref="A1:E6" totalsRowShown="0" dataDxfId="2" dataCellStyle="Pourcentage">
  <autoFilter ref="A1:E6" xr:uid="{AE718FED-2BDF-41C6-9273-5EAF64A9724E}"/>
  <tableColumns count="5">
    <tableColumn id="1" xr3:uid="{9CF030A0-E0BC-44E0-A2F0-0F552DC70E5F}" name="Ratio"/>
    <tableColumn id="2" xr3:uid="{8B1AE2A6-1740-4B27-ABC4-5A839783A124}" name="Seuil min." dataCellStyle="Satisfaisant"/>
    <tableColumn id="3" xr3:uid="{D5CA23C6-5A7F-47BA-BFB9-AA7B44353658}" name="Seuil retenu" dataDxfId="1" dataCellStyle="Pourcentage"/>
    <tableColumn id="4" xr3:uid="{2DA1A8A1-0A98-426D-ADD5-B920C99AB17C}" name="Seuil max." dataCellStyle="Insatisfaisant"/>
    <tableColumn id="5" xr3:uid="{F79E801B-A123-4F72-8B3C-6B2E83F0C0A7}" name="Commentaires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C7B0F-27A4-4C90-A8DF-2E5860396236}">
  <sheetPr>
    <pageSetUpPr fitToPage="1"/>
  </sheetPr>
  <dimension ref="A1:I6"/>
  <sheetViews>
    <sheetView workbookViewId="0">
      <selection activeCell="E13" sqref="E13"/>
    </sheetView>
  </sheetViews>
  <sheetFormatPr baseColWidth="10" defaultRowHeight="15" x14ac:dyDescent="0.25"/>
  <cols>
    <col min="1" max="1" width="23.85546875" bestFit="1" customWidth="1"/>
    <col min="2" max="2" width="17" bestFit="1" customWidth="1"/>
    <col min="3" max="3" width="20.7109375" bestFit="1" customWidth="1"/>
    <col min="4" max="4" width="19.85546875" bestFit="1" customWidth="1"/>
    <col min="5" max="5" width="13.5703125" bestFit="1" customWidth="1"/>
    <col min="6" max="6" width="20.5703125" bestFit="1" customWidth="1"/>
    <col min="7" max="7" width="14" bestFit="1" customWidth="1"/>
    <col min="8" max="8" width="15" bestFit="1" customWidth="1"/>
    <col min="9" max="9" width="25.140625" customWidth="1"/>
    <col min="10" max="10" width="23.85546875" bestFit="1" customWidth="1"/>
    <col min="11" max="11" width="5.85546875" bestFit="1" customWidth="1"/>
  </cols>
  <sheetData>
    <row r="1" spans="1:9" x14ac:dyDescent="0.25">
      <c r="A1" s="5" t="s">
        <v>15</v>
      </c>
      <c r="B1" s="9" t="e">
        <f>SUM(GETPIVOTDATA("[Measures].[Somme de Charge estimée (en h)]",$A$3)+GETPIVOTDATA("[Measures].[Somme de Revue de code (en h)]",$A$3)+GETPIVOTDATA("[Measures].[Somme de Recette (en h)]",$A$3)+GETPIVOTDATA("[Measures].[Somme de Documentation (en h)]",$A$3)+GETPIVOTDATA("[Measures].[Somme de Pilotage (en h)]",$A$3)+GETPIVOTDATA("[Measures].[Somme de Imprévus (en h)]",$A$3))</f>
        <v>#REF!</v>
      </c>
      <c r="D1" s="5" t="s">
        <v>16</v>
      </c>
      <c r="E1" s="9" t="e">
        <f>B1/Ratios!$B$8</f>
        <v>#REF!</v>
      </c>
    </row>
    <row r="3" spans="1:9" x14ac:dyDescent="0.25">
      <c r="A3" s="8" t="s">
        <v>0</v>
      </c>
      <c r="B3" s="8" t="s">
        <v>14</v>
      </c>
      <c r="C3" t="s">
        <v>24</v>
      </c>
      <c r="D3" t="s">
        <v>25</v>
      </c>
      <c r="E3" t="s">
        <v>17</v>
      </c>
      <c r="F3" t="s">
        <v>18</v>
      </c>
      <c r="G3" t="s">
        <v>19</v>
      </c>
      <c r="H3" t="s">
        <v>20</v>
      </c>
    </row>
    <row r="4" spans="1:9" x14ac:dyDescent="0.25">
      <c r="I4" s="11"/>
    </row>
    <row r="5" spans="1:9" x14ac:dyDescent="0.25">
      <c r="I5" s="11"/>
    </row>
    <row r="6" spans="1:9" x14ac:dyDescent="0.25">
      <c r="I6" s="11"/>
    </row>
  </sheetData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2"/>
  <headerFooter>
    <oddHeader>&amp;A</oddHeader>
    <oddFooter>&amp;L&amp;B Confidentiel&amp;B&amp;C&amp;D&amp;RPage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A3D19-19AF-480E-AE23-E68AFBF163FF}">
  <sheetPr>
    <pageSetUpPr fitToPage="1"/>
  </sheetPr>
  <dimension ref="A1:I12"/>
  <sheetViews>
    <sheetView tabSelected="1" workbookViewId="0">
      <selection activeCell="A2" sqref="A2"/>
    </sheetView>
  </sheetViews>
  <sheetFormatPr baseColWidth="10" defaultRowHeight="15" x14ac:dyDescent="0.25"/>
  <cols>
    <col min="1" max="1" width="10.5703125" bestFit="1" customWidth="1"/>
    <col min="2" max="2" width="17" bestFit="1" customWidth="1"/>
    <col min="3" max="3" width="19.5703125" bestFit="1" customWidth="1"/>
    <col min="4" max="4" width="23" bestFit="1" customWidth="1"/>
    <col min="5" max="5" width="22.140625" bestFit="1" customWidth="1"/>
    <col min="6" max="6" width="15.85546875" bestFit="1" customWidth="1"/>
    <col min="7" max="7" width="22.85546875" bestFit="1" customWidth="1"/>
    <col min="8" max="8" width="16.28515625" bestFit="1" customWidth="1"/>
    <col min="9" max="9" width="17.28515625" bestFit="1" customWidth="1"/>
  </cols>
  <sheetData>
    <row r="1" spans="1:9" x14ac:dyDescent="0.25">
      <c r="A1" t="s">
        <v>0</v>
      </c>
      <c r="B1" t="s">
        <v>14</v>
      </c>
      <c r="C1" t="s">
        <v>1</v>
      </c>
      <c r="D1" t="s">
        <v>24</v>
      </c>
      <c r="E1" t="s">
        <v>25</v>
      </c>
      <c r="F1" t="s">
        <v>17</v>
      </c>
      <c r="G1" t="s">
        <v>18</v>
      </c>
      <c r="H1" t="s">
        <v>19</v>
      </c>
      <c r="I1" t="s">
        <v>20</v>
      </c>
    </row>
    <row r="2" spans="1:9" x14ac:dyDescent="0.25">
      <c r="A2" t="s">
        <v>21</v>
      </c>
      <c r="B2" t="s">
        <v>14</v>
      </c>
      <c r="C2" t="s">
        <v>22</v>
      </c>
      <c r="D2" s="10">
        <v>1</v>
      </c>
      <c r="E2" s="10">
        <f>Tableau3[[#This Row],[Charge estimée (en h)]]*Ratios!$C$6</f>
        <v>0.05</v>
      </c>
      <c r="F2" s="7">
        <f>Tableau3[[#This Row],[Charge estimée (en h)]]*Ratios!$C$2</f>
        <v>0.25</v>
      </c>
      <c r="G2" s="7">
        <f>Tableau3[[#This Row],[Charge estimée (en h)]]*Ratios!$C$3</f>
        <v>0.05</v>
      </c>
      <c r="H2" s="7">
        <f>(Tableau3[[#This Row],[Charge estimée (en h)]]+Tableau3[[#This Row],[Recette (en h)]]+Tableau3[[#This Row],[Documentation (en h)]])*Ratios!$C$4</f>
        <v>0.19500000000000001</v>
      </c>
      <c r="I2" s="7">
        <f>(Tableau3[[#This Row],[Charge estimée (en h)]]+Tableau3[[#This Row],[Recette (en h)]]+Tableau3[[#This Row],[Documentation (en h)]]+Tableau3[[#This Row],[Pilotage (en h)]])*Ratios!$C$5</f>
        <v>0.22425</v>
      </c>
    </row>
    <row r="3" spans="1:9" x14ac:dyDescent="0.25">
      <c r="D3" s="10"/>
      <c r="E3" s="10">
        <f>Tableau3[[#This Row],[Charge estimée (en h)]]*Ratios!$C$6</f>
        <v>0</v>
      </c>
      <c r="F3" s="7">
        <f>Tableau3[[#This Row],[Charge estimée (en h)]]*Ratios!$C$2</f>
        <v>0</v>
      </c>
      <c r="G3" s="7">
        <f>Tableau3[[#This Row],[Charge estimée (en h)]]*Ratios!$C$3</f>
        <v>0</v>
      </c>
      <c r="H3" s="7">
        <f>(Tableau3[[#This Row],[Charge estimée (en h)]]+Tableau3[[#This Row],[Recette (en h)]]+Tableau3[[#This Row],[Documentation (en h)]])*Ratios!$C$4</f>
        <v>0</v>
      </c>
      <c r="I3" s="7">
        <f>(Tableau3[[#This Row],[Charge estimée (en h)]]+Tableau3[[#This Row],[Recette (en h)]]+Tableau3[[#This Row],[Documentation (en h)]]+Tableau3[[#This Row],[Pilotage (en h)]])*Ratios!$C$5</f>
        <v>0</v>
      </c>
    </row>
    <row r="4" spans="1:9" x14ac:dyDescent="0.25">
      <c r="D4" s="10"/>
      <c r="E4" s="10">
        <f>Tableau3[[#This Row],[Charge estimée (en h)]]*Ratios!$C$6</f>
        <v>0</v>
      </c>
      <c r="F4" s="7">
        <f>Tableau3[[#This Row],[Charge estimée (en h)]]*Ratios!$C$2</f>
        <v>0</v>
      </c>
      <c r="G4" s="7">
        <f>Tableau3[[#This Row],[Charge estimée (en h)]]*Ratios!$C$3</f>
        <v>0</v>
      </c>
      <c r="H4" s="7">
        <f>(Tableau3[[#This Row],[Charge estimée (en h)]]+Tableau3[[#This Row],[Recette (en h)]]+Tableau3[[#This Row],[Documentation (en h)]])*Ratios!$C$4</f>
        <v>0</v>
      </c>
      <c r="I4" s="7">
        <f>(Tableau3[[#This Row],[Charge estimée (en h)]]+Tableau3[[#This Row],[Recette (en h)]]+Tableau3[[#This Row],[Documentation (en h)]]+Tableau3[[#This Row],[Pilotage (en h)]])*Ratios!$C$5</f>
        <v>0</v>
      </c>
    </row>
    <row r="5" spans="1:9" x14ac:dyDescent="0.25">
      <c r="D5" s="10"/>
      <c r="E5" s="10">
        <f>Tableau3[[#This Row],[Charge estimée (en h)]]*Ratios!$C$6</f>
        <v>0</v>
      </c>
      <c r="F5" s="7">
        <f>Tableau3[[#This Row],[Charge estimée (en h)]]*Ratios!$C$2</f>
        <v>0</v>
      </c>
      <c r="G5" s="7">
        <f>Tableau3[[#This Row],[Charge estimée (en h)]]*Ratios!$C$3</f>
        <v>0</v>
      </c>
      <c r="H5" s="7">
        <f>(Tableau3[[#This Row],[Charge estimée (en h)]]+Tableau3[[#This Row],[Recette (en h)]]+Tableau3[[#This Row],[Documentation (en h)]])*Ratios!$C$4</f>
        <v>0</v>
      </c>
      <c r="I5" s="7">
        <f>(Tableau3[[#This Row],[Charge estimée (en h)]]+Tableau3[[#This Row],[Recette (en h)]]+Tableau3[[#This Row],[Documentation (en h)]]+Tableau3[[#This Row],[Pilotage (en h)]])*Ratios!$C$5</f>
        <v>0</v>
      </c>
    </row>
    <row r="6" spans="1:9" x14ac:dyDescent="0.25">
      <c r="D6" s="10"/>
      <c r="E6" s="10">
        <f>Tableau3[[#This Row],[Charge estimée (en h)]]*Ratios!$C$6</f>
        <v>0</v>
      </c>
      <c r="F6" s="7">
        <f>Tableau3[[#This Row],[Charge estimée (en h)]]*Ratios!$C$2</f>
        <v>0</v>
      </c>
      <c r="G6" s="7">
        <f>Tableau3[[#This Row],[Charge estimée (en h)]]*Ratios!$C$3</f>
        <v>0</v>
      </c>
      <c r="H6" s="7">
        <f>(Tableau3[[#This Row],[Charge estimée (en h)]]+Tableau3[[#This Row],[Recette (en h)]]+Tableau3[[#This Row],[Documentation (en h)]])*Ratios!$C$4</f>
        <v>0</v>
      </c>
      <c r="I6" s="7">
        <f>(Tableau3[[#This Row],[Charge estimée (en h)]]+Tableau3[[#This Row],[Recette (en h)]]+Tableau3[[#This Row],[Documentation (en h)]]+Tableau3[[#This Row],[Pilotage (en h)]])*Ratios!$C$5</f>
        <v>0</v>
      </c>
    </row>
    <row r="7" spans="1:9" x14ac:dyDescent="0.25">
      <c r="D7" s="10"/>
      <c r="E7" s="10">
        <f>Tableau3[[#This Row],[Charge estimée (en h)]]*Ratios!$C$6</f>
        <v>0</v>
      </c>
      <c r="F7" s="7">
        <f>Tableau3[[#This Row],[Charge estimée (en h)]]*Ratios!$C$2</f>
        <v>0</v>
      </c>
      <c r="G7" s="7">
        <f>Tableau3[[#This Row],[Charge estimée (en h)]]*Ratios!$C$3</f>
        <v>0</v>
      </c>
      <c r="H7" s="7">
        <f>(Tableau3[[#This Row],[Charge estimée (en h)]]+Tableau3[[#This Row],[Recette (en h)]]+Tableau3[[#This Row],[Documentation (en h)]])*Ratios!$C$4</f>
        <v>0</v>
      </c>
      <c r="I7" s="7">
        <f>(Tableau3[[#This Row],[Charge estimée (en h)]]+Tableau3[[#This Row],[Recette (en h)]]+Tableau3[[#This Row],[Documentation (en h)]]+Tableau3[[#This Row],[Pilotage (en h)]])*Ratios!$C$5</f>
        <v>0</v>
      </c>
    </row>
    <row r="8" spans="1:9" x14ac:dyDescent="0.25">
      <c r="D8" s="10"/>
      <c r="E8" s="10">
        <f>Tableau3[[#This Row],[Charge estimée (en h)]]*Ratios!$C$6</f>
        <v>0</v>
      </c>
      <c r="F8" s="7">
        <f>Tableau3[[#This Row],[Charge estimée (en h)]]*Ratios!$C$2</f>
        <v>0</v>
      </c>
      <c r="G8" s="7">
        <f>Tableau3[[#This Row],[Charge estimée (en h)]]*Ratios!$C$3</f>
        <v>0</v>
      </c>
      <c r="H8" s="7">
        <f>(Tableau3[[#This Row],[Charge estimée (en h)]]+Tableau3[[#This Row],[Recette (en h)]]+Tableau3[[#This Row],[Documentation (en h)]])*Ratios!$C$4</f>
        <v>0</v>
      </c>
      <c r="I8" s="7">
        <f>(Tableau3[[#This Row],[Charge estimée (en h)]]+Tableau3[[#This Row],[Recette (en h)]]+Tableau3[[#This Row],[Documentation (en h)]]+Tableau3[[#This Row],[Pilotage (en h)]])*Ratios!$C$5</f>
        <v>0</v>
      </c>
    </row>
    <row r="9" spans="1:9" x14ac:dyDescent="0.25">
      <c r="D9" s="10"/>
      <c r="E9" s="10">
        <f>Tableau3[[#This Row],[Charge estimée (en h)]]*Ratios!$C$6</f>
        <v>0</v>
      </c>
      <c r="F9" s="7">
        <f>Tableau3[[#This Row],[Charge estimée (en h)]]*Ratios!$C$2</f>
        <v>0</v>
      </c>
      <c r="G9" s="7">
        <f>Tableau3[[#This Row],[Charge estimée (en h)]]*Ratios!$C$3</f>
        <v>0</v>
      </c>
      <c r="H9" s="7">
        <f>(Tableau3[[#This Row],[Charge estimée (en h)]]+Tableau3[[#This Row],[Recette (en h)]]+Tableau3[[#This Row],[Documentation (en h)]])*Ratios!$C$4</f>
        <v>0</v>
      </c>
      <c r="I9" s="7">
        <f>(Tableau3[[#This Row],[Charge estimée (en h)]]+Tableau3[[#This Row],[Recette (en h)]]+Tableau3[[#This Row],[Documentation (en h)]]+Tableau3[[#This Row],[Pilotage (en h)]])*Ratios!$C$5</f>
        <v>0</v>
      </c>
    </row>
    <row r="10" spans="1:9" x14ac:dyDescent="0.25">
      <c r="D10" s="10"/>
      <c r="E10" s="10">
        <f>Tableau3[[#This Row],[Charge estimée (en h)]]*Ratios!$C$6</f>
        <v>0</v>
      </c>
      <c r="F10" s="7">
        <f>Tableau3[[#This Row],[Charge estimée (en h)]]*Ratios!$C$2</f>
        <v>0</v>
      </c>
      <c r="G10" s="7">
        <f>Tableau3[[#This Row],[Charge estimée (en h)]]*Ratios!$C$3</f>
        <v>0</v>
      </c>
      <c r="H10" s="7">
        <f>(Tableau3[[#This Row],[Charge estimée (en h)]]+Tableau3[[#This Row],[Recette (en h)]]+Tableau3[[#This Row],[Documentation (en h)]])*Ratios!$C$4</f>
        <v>0</v>
      </c>
      <c r="I10" s="7">
        <f>(Tableau3[[#This Row],[Charge estimée (en h)]]+Tableau3[[#This Row],[Recette (en h)]]+Tableau3[[#This Row],[Documentation (en h)]]+Tableau3[[#This Row],[Pilotage (en h)]])*Ratios!$C$5</f>
        <v>0</v>
      </c>
    </row>
    <row r="11" spans="1:9" x14ac:dyDescent="0.25">
      <c r="D11" s="10"/>
      <c r="E11" s="10">
        <f>Tableau3[[#This Row],[Charge estimée (en h)]]*Ratios!$C$6</f>
        <v>0</v>
      </c>
      <c r="F11" s="7">
        <f>Tableau3[[#This Row],[Charge estimée (en h)]]*Ratios!$C$2</f>
        <v>0</v>
      </c>
      <c r="G11" s="7">
        <f>Tableau3[[#This Row],[Charge estimée (en h)]]*Ratios!$C$3</f>
        <v>0</v>
      </c>
      <c r="H11" s="7">
        <f>(Tableau3[[#This Row],[Charge estimée (en h)]]+Tableau3[[#This Row],[Recette (en h)]]+Tableau3[[#This Row],[Documentation (en h)]])*Ratios!$C$4</f>
        <v>0</v>
      </c>
      <c r="I11" s="7">
        <f>(Tableau3[[#This Row],[Charge estimée (en h)]]+Tableau3[[#This Row],[Recette (en h)]]+Tableau3[[#This Row],[Documentation (en h)]]+Tableau3[[#This Row],[Pilotage (en h)]])*Ratios!$C$5</f>
        <v>0</v>
      </c>
    </row>
    <row r="12" spans="1:9" x14ac:dyDescent="0.25">
      <c r="D12" s="10"/>
      <c r="E12" s="10">
        <f>Tableau3[[#This Row],[Charge estimée (en h)]]*Ratios!$C$6</f>
        <v>0</v>
      </c>
      <c r="F12" s="7">
        <f>Tableau3[[#This Row],[Charge estimée (en h)]]*Ratios!$C$2</f>
        <v>0</v>
      </c>
      <c r="G12" s="7">
        <f>Tableau3[[#This Row],[Charge estimée (en h)]]*Ratios!$C$3</f>
        <v>0</v>
      </c>
      <c r="H12" s="7">
        <f>(Tableau3[[#This Row],[Charge estimée (en h)]]+Tableau3[[#This Row],[Recette (en h)]]+Tableau3[[#This Row],[Documentation (en h)]])*Ratios!$C$4</f>
        <v>0</v>
      </c>
      <c r="I12" s="7">
        <f>(Tableau3[[#This Row],[Charge estimée (en h)]]+Tableau3[[#This Row],[Recette (en h)]]+Tableau3[[#This Row],[Documentation (en h)]]+Tableau3[[#This Row],[Pilotage (en h)]])*Ratios!$C$5</f>
        <v>0</v>
      </c>
    </row>
  </sheetData>
  <phoneticPr fontId="9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Header>&amp;A</oddHeader>
    <oddFooter>&amp;L&amp;B Confidentiel&amp;B&amp;C&amp;D&amp;RPage &amp;P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5CD69-1DA1-4AE9-8E89-FEF9F51113FF}">
  <sheetPr>
    <pageSetUpPr fitToPage="1"/>
  </sheetPr>
  <dimension ref="A1:E8"/>
  <sheetViews>
    <sheetView workbookViewId="0">
      <selection activeCell="C28" sqref="C28"/>
    </sheetView>
  </sheetViews>
  <sheetFormatPr baseColWidth="10" defaultRowHeight="15" x14ac:dyDescent="0.25"/>
  <cols>
    <col min="1" max="1" width="24.140625" bestFit="1" customWidth="1"/>
    <col min="2" max="2" width="12.140625" bestFit="1" customWidth="1"/>
    <col min="3" max="3" width="14.140625" bestFit="1" customWidth="1"/>
    <col min="4" max="4" width="12.42578125" bestFit="1" customWidth="1"/>
    <col min="5" max="5" width="89" bestFit="1" customWidth="1"/>
  </cols>
  <sheetData>
    <row r="1" spans="1:5" x14ac:dyDescent="0.25">
      <c r="A1" t="s">
        <v>2</v>
      </c>
      <c r="B1" t="s">
        <v>3</v>
      </c>
      <c r="C1" t="s">
        <v>4</v>
      </c>
      <c r="D1" t="s">
        <v>5</v>
      </c>
      <c r="E1" t="s">
        <v>1</v>
      </c>
    </row>
    <row r="2" spans="1:5" x14ac:dyDescent="0.25">
      <c r="A2" t="s">
        <v>6</v>
      </c>
      <c r="B2" s="1">
        <v>0.2</v>
      </c>
      <c r="C2" s="2">
        <v>0.25</v>
      </c>
      <c r="D2" s="3">
        <v>0.3</v>
      </c>
      <c r="E2" t="s">
        <v>7</v>
      </c>
    </row>
    <row r="3" spans="1:5" x14ac:dyDescent="0.25">
      <c r="A3" t="s">
        <v>8</v>
      </c>
      <c r="B3" s="1">
        <v>0.05</v>
      </c>
      <c r="C3" s="4">
        <v>0.05</v>
      </c>
      <c r="D3" s="3">
        <v>0.05</v>
      </c>
      <c r="E3" t="s">
        <v>7</v>
      </c>
    </row>
    <row r="4" spans="1:5" x14ac:dyDescent="0.25">
      <c r="A4" t="s">
        <v>9</v>
      </c>
      <c r="B4" s="1">
        <v>0.1</v>
      </c>
      <c r="C4" s="2">
        <v>0.15</v>
      </c>
      <c r="D4" s="3">
        <v>0.2</v>
      </c>
      <c r="E4" t="s">
        <v>10</v>
      </c>
    </row>
    <row r="5" spans="1:5" x14ac:dyDescent="0.25">
      <c r="A5" t="s">
        <v>11</v>
      </c>
      <c r="B5" s="1">
        <v>0.1</v>
      </c>
      <c r="C5" s="2">
        <v>0.15</v>
      </c>
      <c r="D5" s="3">
        <v>0.2</v>
      </c>
      <c r="E5" t="s">
        <v>12</v>
      </c>
    </row>
    <row r="6" spans="1:5" x14ac:dyDescent="0.25">
      <c r="A6" t="s">
        <v>23</v>
      </c>
      <c r="B6" s="1">
        <v>0.05</v>
      </c>
      <c r="C6" s="4">
        <v>0.05</v>
      </c>
      <c r="D6" s="3">
        <v>0.05</v>
      </c>
      <c r="E6" t="s">
        <v>7</v>
      </c>
    </row>
    <row r="8" spans="1:5" x14ac:dyDescent="0.25">
      <c r="A8" s="5" t="s">
        <v>13</v>
      </c>
      <c r="B8" s="6">
        <v>8</v>
      </c>
    </row>
  </sheetData>
  <printOptions horizontalCentered="1"/>
  <pageMargins left="0.25" right="0.25" top="0.75" bottom="0.75" header="0.3" footer="0.3"/>
  <pageSetup paperSize="9" scale="93" fitToHeight="0" orientation="landscape" r:id="rId1"/>
  <headerFooter>
    <oddHeader>&amp;A</oddHeader>
    <oddFooter>&amp;L&amp;B Confidentiel&amp;B&amp;C&amp;D&amp;RPage &amp;P</oddFooter>
  </headerFooter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Chiffrage</vt:lpstr>
      <vt:lpstr>Evaluation de la charge</vt:lpstr>
      <vt:lpstr>Ratios</vt:lpstr>
      <vt:lpstr>Chiffrage!Impression_des_titres</vt:lpstr>
      <vt:lpstr>'Evaluation de la charge'!Impression_des_titres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Vandycke</dc:creator>
  <cp:lastModifiedBy>Elie Vandycke</cp:lastModifiedBy>
  <cp:lastPrinted>2020-08-21T09:36:38Z</cp:lastPrinted>
  <dcterms:created xsi:type="dcterms:W3CDTF">2020-08-21T09:20:31Z</dcterms:created>
  <dcterms:modified xsi:type="dcterms:W3CDTF">2020-10-02T06:28:35Z</dcterms:modified>
</cp:coreProperties>
</file>